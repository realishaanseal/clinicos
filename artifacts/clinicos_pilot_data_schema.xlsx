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sult Log" sheetId="2" state="visible" r:id="rId4"/>
    <sheet name="Edit Deltas" sheetId="3" state="visible" r:id="rId5"/>
    <sheet name="Rollup &amp; Gates" sheetId="4" state="visible" r:id="rId6"/>
    <sheet name="Data Bounda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<sst xmlns="http://schemas.openxmlformats.org/spreadsheetml/2006/main" count="109" uniqueCount="101">
  <si>
    <t xml:space="preserve">ClinicOS — Pilot Data Collection Schema</t>
  </si>
  <si>
    <t xml:space="preserve">What to capture from each pilot clinic, and why, so the product can be improved and evaluated with evidence rather than guesswork.</t>
  </si>
  <si>
    <t xml:space="preserve">Legend</t>
  </si>
  <si>
    <t xml:space="preserve">Blue text</t>
  </si>
  <si>
    <t xml:space="preserve">Cells clinics / the app should fill in during use.</t>
  </si>
  <si>
    <t xml:space="preserve">Yellow fill</t>
  </si>
  <si>
    <t xml:space="preserve">Fields that need a decision from you before pilots start (consent wording, retention period).</t>
  </si>
  <si>
    <t xml:space="preserve">Orange / flagged rows</t>
  </si>
  <si>
    <t xml:space="preserve">Data categories that touch your existing audio-deletion policy or the CDSCO regulatory line — read before collecting.</t>
  </si>
  <si>
    <t xml:space="preserve">How the tabs fit together</t>
  </si>
  <si>
    <t xml:space="preserve">Consult Log</t>
  </si>
  <si>
    <t xml:space="preserve">One row per consultation. This is the core dataset — everything else is derived from it. Fill it from the app's session export or a nurse/assistant logging it live.</t>
  </si>
  <si>
    <t xml:space="preserve">Edit Deltas</t>
  </si>
  <si>
    <t xml:space="preserve">One row per correction a doctor makes to the AI draft. This is your single best training signal: it tells you exactly where the model is wrong and how a real doctor fixed it, without you having to judge clinical correctness yourself.</t>
  </si>
  <si>
    <t xml:space="preserve">Rollup &amp; Gates</t>
  </si>
  <si>
    <t xml:space="preserve">Auto-calculated summary — cost per consult, edit rate by type, usage by clinic/doctor — feeding directly into your Week 4/8/16 validation gates.</t>
  </si>
  <si>
    <t xml:space="preserve">Data Boundaries</t>
  </si>
  <si>
    <t xml:space="preserve">What you are and are not collecting, mapped against your audio-deletion policy and the CDSCO SaMD line, so this tracker never quietly drifts past decisions you already made.</t>
  </si>
  <si>
    <t xml:space="preserve">Per-consultation data capture — one row per consultation, logged same-day</t>
  </si>
  <si>
    <t xml:space="preserve">consult_id</t>
  </si>
  <si>
    <t xml:space="preserve">date</t>
  </si>
  <si>
    <t xml:space="preserve">clinic_id</t>
  </si>
  <si>
    <t xml:space="preserve">doctor_id</t>
  </si>
  <si>
    <t xml:space="preserve">patient_age_band</t>
  </si>
  <si>
    <t xml:space="preserve">patient_sex</t>
  </si>
  <si>
    <t xml:space="preserve">language_mix</t>
  </si>
  <si>
    <t xml:space="preserve">duration_sec</t>
  </si>
  <si>
    <t xml:space="preserve">ai_note_generated_y/n</t>
  </si>
  <si>
    <t xml:space="preserve">doctor_edited_y/n</t>
  </si>
  <si>
    <t xml:space="preserve">edit_count</t>
  </si>
  <si>
    <t xml:space="preserve">final_note_signed_y/n</t>
  </si>
  <si>
    <t xml:space="preserve">audio_deleted_y/n</t>
  </si>
  <si>
    <t xml:space="preserve">inference_cost_INR</t>
  </si>
  <si>
    <t xml:space="preserve">C-0001</t>
  </si>
  <si>
    <t xml:space="preserve">2026-09-01</t>
  </si>
  <si>
    <t xml:space="preserve">CLN-01</t>
  </si>
  <si>
    <t xml:space="preserve">DR-A</t>
  </si>
  <si>
    <t xml:space="preserve">31-45</t>
  </si>
  <si>
    <t xml:space="preserve">F</t>
  </si>
  <si>
    <t xml:space="preserve">Bengali+English</t>
  </si>
  <si>
    <t xml:space="preserve">Y</t>
  </si>
  <si>
    <t xml:space="preserve">Note: audio_deleted_y/n should read Y for every row once your existing policy (delete on doctor sign-off) is followed. A run of N values here is a policy break, not a data field to fill in.</t>
  </si>
  <si>
    <t xml:space="preserve">Doctor corrections to AI draft — one row per edit, the core training/eval signal</t>
  </si>
  <si>
    <t xml:space="preserve">edit_id</t>
  </si>
  <si>
    <t xml:space="preserve">section_edited</t>
  </si>
  <si>
    <t xml:space="preserve">edit_type</t>
  </si>
  <si>
    <t xml:space="preserve">ai_draft_text</t>
  </si>
  <si>
    <t xml:space="preserve">doctor_final_text</t>
  </si>
  <si>
    <t xml:space="preserve">severity</t>
  </si>
  <si>
    <t xml:space="preserve">notes</t>
  </si>
  <si>
    <t xml:space="preserve">E-0001</t>
  </si>
  <si>
    <t xml:space="preserve">Diagnosis</t>
  </si>
  <si>
    <t xml:space="preserve">Wording</t>
  </si>
  <si>
    <t xml:space="preserve">Acute gastroenteritis</t>
  </si>
  <si>
    <t xml:space="preserve">Acute gastroenteritis, mild dehydration</t>
  </si>
  <si>
    <t xml:space="preserve">Minor</t>
  </si>
  <si>
    <t xml:space="preserve">AI missed dehydration note from history</t>
  </si>
  <si>
    <t xml:space="preserve">"Clinically significant" edits (wrong drug, wrong dosage, missed red-flag symptom) are the ones that matter most for a go/no-go call on trusting the AI draft — track these separately when reviewing, not just the count.</t>
  </si>
  <si>
    <t xml:space="preserve">Rollup — auto-calculated from Consult Log and Edit Deltas</t>
  </si>
  <si>
    <t xml:space="preserve">Total consultations logged</t>
  </si>
  <si>
    <t xml:space="preserve">Total signed (Y)</t>
  </si>
  <si>
    <t xml:space="preserve">Total audio deleted (Y)</t>
  </si>
  <si>
    <t xml:space="preserve">Audio policy compliance %</t>
  </si>
  <si>
    <t xml:space="preserve">Consultations with any doctor edit</t>
  </si>
  <si>
    <t xml:space="preserve">Edit rate (% of consults edited)</t>
  </si>
  <si>
    <t xml:space="preserve">Average edit_count per consult</t>
  </si>
  <si>
    <t xml:space="preserve">Average inference cost per consult (INR)</t>
  </si>
  <si>
    <t xml:space="preserve">Total clinically significant edits</t>
  </si>
  <si>
    <t xml:space="preserve">Feeds into your validation gates</t>
  </si>
  <si>
    <t xml:space="preserve">• Week 4 gate is doctor-interview based (see Discovery tab / script) — this sheet does not compute it.</t>
  </si>
  <si>
    <t xml:space="preserve">• Week 8 gate: cross-check 'signed' rows per clinic per week against day-21 activity — unattended use = signed rows continuing without founder site visits.</t>
  </si>
  <si>
    <t xml:space="preserve">• Week 16 gate: paying clinics tracked in your existing pilot tracker workbook, not here — merge that tab in once located.</t>
  </si>
  <si>
    <t xml:space="preserve">• Average inference cost per consult (D11) replaces the ₹2,000 placeholder economics once ~30+ real consults are logged.</t>
  </si>
  <si>
    <t xml:space="preserve">What this schema does and doesn't collect — checked against existing decisions</t>
  </si>
  <si>
    <t xml:space="preserve">Data category</t>
  </si>
  <si>
    <t xml:space="preserve">Collected here?</t>
  </si>
  <si>
    <t xml:space="preserve">Basis</t>
  </si>
  <si>
    <t xml:space="preserve">Flag</t>
  </si>
  <si>
    <t xml:space="preserve">Structured note text (AI draft + doctor-signed final)</t>
  </si>
  <si>
    <t xml:space="preserve">Yes</t>
  </si>
  <si>
    <t xml:space="preserve">Text output only; this is the ground-truth training signal</t>
  </si>
  <si>
    <t xml:space="preserve">Doctor edit deltas (before/after per correction)</t>
  </si>
  <si>
    <t xml:space="preserve">Highest-value signal — labeled error without needing clinical judgment</t>
  </si>
  <si>
    <t xml:space="preserve">Consultation metadata (duration, language, clinic/doctor ID)</t>
  </si>
  <si>
    <t xml:space="preserve">Needed for usage analysis and Week 8 gate</t>
  </si>
  <si>
    <t xml:space="preserve">Inference cost per consult</t>
  </si>
  <si>
    <t xml:space="preserve">Replaces placeholder ₹2,000/2,500 economics</t>
  </si>
  <si>
    <t xml:space="preserve">Prescription structure / drug-dosage formatting</t>
  </si>
  <si>
    <t xml:space="preserve">Yes (via edit deltas)</t>
  </si>
  <si>
    <t xml:space="preserve">Local prescribing convention differs from general model training data</t>
  </si>
  <si>
    <t xml:space="preserve">Raw consultation audio</t>
  </si>
  <si>
    <t xml:space="preserve">No — deleted on sign-off</t>
  </si>
  <si>
    <t xml:space="preserve">Existing policy (18 Aug 2026): highest-leverage compliance decision</t>
  </si>
  <si>
    <t xml:space="preserve">Do not reverse without a deliberate, separately-consented decision</t>
  </si>
  <si>
    <t xml:space="preserve">Patient identity (name, contact, address)</t>
  </si>
  <si>
    <t xml:space="preserve">No — use clinic-assigned IDs only</t>
  </si>
  <si>
    <t xml:space="preserve">Not needed for model improvement; reduces DPDP Act exposure</t>
  </si>
  <si>
    <t xml:space="preserve">Home-reading vitals tied to named patient + risk alerts</t>
  </si>
  <si>
    <t xml:space="preserve">Not yet — monitoring phase not built</t>
  </si>
  <si>
    <t xml:space="preserve">This is the CDSCO SaMD boundary — collecting it presumes a regulatory decision not yet made</t>
  </si>
  <si>
    <t xml:space="preserve">Revisit only when monitoring phase is deliberately started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</si>
</sst>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0"/>
    <numFmt numFmtId="168" formatCode="\₹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420"/>
      <name val="Arial"/>
      <family val="0"/>
      <charset val="1"/>
    </font>
    <font>
      <i val="true"/>
      <sz val="10"/>
      <color rgb="FF4D564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D6A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5542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6A4F"/>
        <bgColor rgb="FF4D564F"/>
      </patternFill>
    </fill>
    <fill>
      <patternFill patternType="solid">
        <fgColor rgb="FFF1DDD2"/>
        <bgColor rgb="FFCFC9B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9BA"/>
      </left>
      <right style="thin">
        <color rgb="FFCFC9BA"/>
      </right>
      <top style="thin">
        <color rgb="FFCFC9BA"/>
      </top>
      <bottom style="thin">
        <color rgb="FFCFC9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FC9B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DDD2"/>
      <rgbColor rgb="FF3366FF"/>
      <rgbColor rgb="FF33CCCC"/>
      <rgbColor rgb="FF99CC00"/>
      <rgbColor rgb="FFFFCC00"/>
      <rgbColor rgb="FFFF9900"/>
      <rgbColor rgb="FFFF6600"/>
      <rgbColor rgb="FF4D564F"/>
      <rgbColor rgb="FF969696"/>
      <rgbColor rgb="FF003366"/>
      <rgbColor rgb="FF339966"/>
      <rgbColor rgb="FF003300"/>
      <rgbColor rgb="FF333300"/>
      <rgbColor rgb="FFB5542C"/>
      <rgbColor rgb="FF993366"/>
      <rgbColor rgb="FF333399"/>
      <rgbColor rgb="FF1A24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8" min="3" style="1" width="14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5"/>
      <c r="G6" s="5"/>
      <c r="H6" s="5"/>
    </row>
    <row r="7" customFormat="false" ht="15" hidden="false" customHeight="true" outlineLevel="0" collapsed="false">
      <c r="B7" s="4" t="s">
        <v>5</v>
      </c>
      <c r="C7" s="5" t="s">
        <v>6</v>
      </c>
      <c r="D7" s="5"/>
      <c r="E7" s="5"/>
      <c r="F7" s="5"/>
      <c r="G7" s="5"/>
      <c r="H7" s="5"/>
    </row>
    <row r="8" customFormat="false" ht="15" hidden="false" customHeight="true" outlineLevel="0" collapsed="false">
      <c r="B8" s="4" t="s">
        <v>7</v>
      </c>
      <c r="C8" s="5" t="s">
        <v>8</v>
      </c>
      <c r="D8" s="5"/>
      <c r="E8" s="5"/>
      <c r="F8" s="5"/>
      <c r="G8" s="5"/>
      <c r="H8" s="5"/>
    </row>
    <row r="10" customFormat="false" ht="15" hidden="false" customHeight="true" outlineLevel="0" collapsed="false">
      <c r="B10" s="4" t="s">
        <v>9</v>
      </c>
    </row>
    <row r="11" customFormat="false" ht="30" hidden="false" customHeight="true" outlineLevel="0" collapsed="false">
      <c r="B11" s="6" t="s">
        <v>10</v>
      </c>
      <c r="C11" s="5" t="s">
        <v>11</v>
      </c>
      <c r="D11" s="5"/>
      <c r="E11" s="5"/>
      <c r="F11" s="5"/>
      <c r="G11" s="5"/>
      <c r="H11" s="5"/>
    </row>
    <row r="12" customFormat="false" ht="30" hidden="false" customHeight="true" outlineLevel="0" collapsed="false">
      <c r="B12" s="6" t="s">
        <v>12</v>
      </c>
      <c r="C12" s="5" t="s">
        <v>13</v>
      </c>
      <c r="D12" s="5"/>
      <c r="E12" s="5"/>
      <c r="F12" s="5"/>
      <c r="G12" s="5"/>
      <c r="H12" s="5"/>
    </row>
    <row r="13" customFormat="false" ht="30" hidden="false" customHeight="true" outlineLevel="0" collapsed="false">
      <c r="B13" s="6" t="s">
        <v>14</v>
      </c>
      <c r="C13" s="5" t="s">
        <v>15</v>
      </c>
      <c r="D13" s="5"/>
      <c r="E13" s="5"/>
      <c r="F13" s="5"/>
      <c r="G13" s="5"/>
      <c r="H13" s="5"/>
    </row>
    <row r="14" customFormat="false" ht="30" hidden="false" customHeight="true" outlineLevel="0" collapsed="false">
      <c r="B14" s="6" t="s">
        <v>16</v>
      </c>
      <c r="C14" s="5" t="s">
        <v>17</v>
      </c>
      <c r="D14" s="5"/>
      <c r="E14" s="5"/>
      <c r="F14" s="5"/>
      <c r="G14" s="5"/>
      <c r="H14" s="5"/>
    </row>
  </sheetData>
  <mergeCells count="8">
    <mergeCell ref="B3:H3"/>
    <mergeCell ref="C6:H6"/>
    <mergeCell ref="C7:H7"/>
    <mergeCell ref="C8:H8"/>
    <mergeCell ref="C11:H11"/>
    <mergeCell ref="C12:H12"/>
    <mergeCell ref="C13:H13"/>
    <mergeCell ref="C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4" min="3" style="1" width="1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5"/>
  </cols>
  <sheetData>
    <row r="1" customFormat="false" ht="17.25" hidden="false" customHeight="true" outlineLevel="0" collapsed="false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customFormat="false" ht="23.25" hidden="false" customHeight="true" outlineLevel="0" collapsed="false">
      <c r="A3" s="8" t="s">
        <v>19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8" t="s">
        <v>28</v>
      </c>
      <c r="K3" s="8" t="s">
        <v>29</v>
      </c>
      <c r="L3" s="8" t="s">
        <v>30</v>
      </c>
      <c r="M3" s="8" t="s">
        <v>31</v>
      </c>
      <c r="N3" s="8" t="s">
        <v>32</v>
      </c>
    </row>
    <row r="4" customFormat="false" ht="15" hidden="false" customHeight="true" outlineLevel="0" collapsed="false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n">
        <v>312</v>
      </c>
      <c r="I4" s="9" t="s">
        <v>40</v>
      </c>
      <c r="J4" s="9" t="s">
        <v>40</v>
      </c>
      <c r="K4" s="9" t="n">
        <v>3</v>
      </c>
      <c r="L4" s="9" t="s">
        <v>40</v>
      </c>
      <c r="M4" s="9" t="s">
        <v>40</v>
      </c>
      <c r="N4" s="9" t="n">
        <v>4.2</v>
      </c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6" customFormat="false" ht="27.75" hidden="false" customHeight="true" outlineLevel="0" collapsed="false">
      <c r="A16" s="10"/>
    </row>
    <row r="205" customFormat="false" ht="15" hidden="false" customHeight="false" outlineLevel="0" collapsed="false">
      <c r="A205" s="11" t="s">
        <v>41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</sheetData>
  <mergeCells count="2">
    <mergeCell ref="A1:N1"/>
    <mergeCell ref="A205:N205"/>
  </mergeCells>
  <dataValidations count="2">
    <dataValidation allowBlank="true" errorStyle="stop" operator="between" showDropDown="false" showErrorMessage="false" showInputMessage="false" sqref="I4:J200 L4:M200" type="list">
      <formula1>"Y,N"</formula1>
      <formula2>0</formula2>
    </dataValidation>
    <dataValidation allowBlank="true" errorStyle="stop" operator="between" showDropDown="false" showErrorMessage="false" showInputMessage="false" sqref="F4:F200" type="list">
      <formula1>"M,F,Other"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34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7.25" hidden="false" customHeight="true" outlineLevel="0" collapsed="false">
      <c r="A1" s="7" t="s">
        <v>42</v>
      </c>
      <c r="B1" s="7"/>
      <c r="C1" s="7"/>
      <c r="D1" s="7"/>
      <c r="E1" s="7"/>
      <c r="F1" s="7"/>
      <c r="G1" s="7"/>
      <c r="H1" s="7"/>
    </row>
    <row r="3" customFormat="false" ht="15" hidden="false" customHeight="true" outlineLevel="0" collapsed="false">
      <c r="A3" s="8" t="s">
        <v>19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47</v>
      </c>
      <c r="G3" s="8" t="s">
        <v>48</v>
      </c>
      <c r="H3" s="8" t="s">
        <v>49</v>
      </c>
    </row>
    <row r="4" customFormat="false" ht="15" hidden="false" customHeight="true" outlineLevel="0" collapsed="false">
      <c r="A4" s="9" t="s">
        <v>33</v>
      </c>
      <c r="B4" s="9" t="s">
        <v>50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  <c r="H4" s="9" t="s">
        <v>56</v>
      </c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</row>
    <row r="16" customFormat="false" ht="27.75" hidden="false" customHeight="true" outlineLevel="0" collapsed="false">
      <c r="A16" s="10"/>
    </row>
    <row r="205" customFormat="false" ht="15" hidden="false" customHeight="false" outlineLevel="0" collapsed="false">
      <c r="A205" s="11" t="s">
        <v>57</v>
      </c>
      <c r="B205" s="11"/>
      <c r="C205" s="11"/>
      <c r="D205" s="11"/>
      <c r="E205" s="11"/>
      <c r="F205" s="11"/>
      <c r="G205" s="11"/>
      <c r="H205" s="11"/>
    </row>
  </sheetData>
  <mergeCells count="2">
    <mergeCell ref="A1:H1"/>
    <mergeCell ref="A205:H205"/>
  </mergeCells>
  <dataValidations count="3">
    <dataValidation allowBlank="true" errorStyle="stop" operator="between" showDropDown="false" showErrorMessage="false" showInputMessage="false" sqref="C4:C200" type="list">
      <formula1>"Chief Complaint,History,Exam Findings,Diagnosis,Prescription,Follow-up/Advice"</formula1>
      <formula2>0</formula2>
    </dataValidation>
    <dataValidation allowBlank="true" errorStyle="stop" operator="between" showDropDown="false" showErrorMessage="false" showInputMessage="false" sqref="D4:D200" type="list">
      <formula1>"Wording,Missing Info,Wrong Info,Dosage/Drug,Structure,Language/Translation"</formula1>
      <formula2>0</formula2>
    </dataValidation>
    <dataValidation allowBlank="true" errorStyle="stop" operator="between" showDropDown="false" showErrorMessage="false" showInputMessage="false" sqref="G4:G200" type="list">
      <formula1>"Minor,Moderate,Clinically significant"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3"/>
    <col collapsed="false" customWidth="true" hidden="false" outlineLevel="0" max="4" min="4" style="1" width="16"/>
  </cols>
  <sheetData>
    <row r="2" customFormat="false" ht="17.25" hidden="false" customHeight="true" outlineLevel="0" collapsed="false">
      <c r="B2" s="7" t="s">
        <v>58</v>
      </c>
      <c r="C2" s="7"/>
      <c r="D2" s="7"/>
      <c r="E2" s="7"/>
    </row>
    <row r="4" customFormat="false" ht="15" hidden="false" customHeight="true" outlineLevel="0" collapsed="false">
      <c r="B4" s="12" t="s">
        <v>59</v>
      </c>
      <c r="D4" s="13" t="n">
        <f aca="false">COUNTA('Consult Log'!A4:A200)</f>
        <v>1</v>
      </c>
    </row>
    <row r="5" customFormat="false" ht="15" hidden="false" customHeight="true" outlineLevel="0" collapsed="false">
      <c r="B5" s="12" t="s">
        <v>60</v>
      </c>
      <c r="D5" s="13" t="n">
        <f aca="false">COUNTIF('Consult Log'!L4:L200,"Y")</f>
        <v>1</v>
      </c>
    </row>
    <row r="6" customFormat="false" ht="15" hidden="false" customHeight="true" outlineLevel="0" collapsed="false">
      <c r="B6" s="12" t="s">
        <v>61</v>
      </c>
      <c r="D6" s="13" t="n">
        <f aca="false">COUNTIF('Consult Log'!M4:M200,"Y")</f>
        <v>1</v>
      </c>
    </row>
    <row r="7" customFormat="false" ht="15" hidden="false" customHeight="true" outlineLevel="0" collapsed="false">
      <c r="B7" s="12" t="s">
        <v>62</v>
      </c>
      <c r="D7" s="14" t="n">
        <f aca="false">IFERROR(D6/D5,"-")</f>
        <v>1</v>
      </c>
    </row>
    <row r="8" customFormat="false" ht="15" hidden="false" customHeight="true" outlineLevel="0" collapsed="false">
      <c r="B8" s="12" t="s">
        <v>63</v>
      </c>
      <c r="D8" s="13" t="n">
        <f aca="false">COUNTIF('Consult Log'!J4:J200,"Y")</f>
        <v>1</v>
      </c>
    </row>
    <row r="9" customFormat="false" ht="15" hidden="false" customHeight="true" outlineLevel="0" collapsed="false">
      <c r="B9" s="12" t="s">
        <v>64</v>
      </c>
      <c r="D9" s="14" t="n">
        <f aca="false">IFERROR(D8/D4,"-")</f>
        <v>1</v>
      </c>
    </row>
    <row r="10" customFormat="false" ht="15" hidden="false" customHeight="true" outlineLevel="0" collapsed="false">
      <c r="B10" s="12" t="s">
        <v>65</v>
      </c>
      <c r="D10" s="15" t="n">
        <f aca="false">IFERROR(AVERAGE('Consult Log'!K4:K200),"-")</f>
        <v>3</v>
      </c>
    </row>
    <row r="11" customFormat="false" ht="15" hidden="false" customHeight="true" outlineLevel="0" collapsed="false">
      <c r="B11" s="12" t="s">
        <v>66</v>
      </c>
      <c r="D11" s="16" t="n">
        <f aca="false">IFERROR(AVERAGE('Consult Log'!N4:N200),"-")</f>
        <v>4.2</v>
      </c>
    </row>
    <row r="12" customFormat="false" ht="15" hidden="false" customHeight="true" outlineLevel="0" collapsed="false">
      <c r="B12" s="12" t="s">
        <v>67</v>
      </c>
      <c r="D12" s="13" t="n">
        <f aca="false">COUNTIF('Edit Deltas'!G4:G200,"Clinically significant")</f>
        <v>0</v>
      </c>
    </row>
    <row r="15" customFormat="false" ht="15" hidden="false" customHeight="true" outlineLevel="0" collapsed="false">
      <c r="B15" s="4" t="s">
        <v>68</v>
      </c>
    </row>
    <row r="16" customFormat="false" ht="25.5" hidden="false" customHeight="true" outlineLevel="0" collapsed="false">
      <c r="B16" s="5" t="s">
        <v>69</v>
      </c>
      <c r="C16" s="5"/>
      <c r="D16" s="5"/>
    </row>
    <row r="17" customFormat="false" ht="25.5" hidden="false" customHeight="true" outlineLevel="0" collapsed="false">
      <c r="B17" s="5" t="s">
        <v>70</v>
      </c>
      <c r="C17" s="5"/>
      <c r="D17" s="5"/>
    </row>
    <row r="18" customFormat="false" ht="25.5" hidden="false" customHeight="true" outlineLevel="0" collapsed="false">
      <c r="B18" s="5" t="s">
        <v>71</v>
      </c>
      <c r="C18" s="5"/>
      <c r="D18" s="5"/>
    </row>
    <row r="19" customFormat="false" ht="25.5" hidden="false" customHeight="true" outlineLevel="0" collapsed="false">
      <c r="B19" s="5" t="s">
        <v>72</v>
      </c>
      <c r="C19" s="5"/>
      <c r="D19" s="5"/>
    </row>
  </sheetData>
  <mergeCells count="5">
    <mergeCell ref="B2:E2"/>
    <mergeCell ref="B16:D16"/>
    <mergeCell ref="B17:D17"/>
    <mergeCell ref="B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30"/>
  </cols>
  <sheetData>
    <row r="2" customFormat="false" ht="17.25" hidden="false" customHeight="true" outlineLevel="0" collapsed="false">
      <c r="B2" s="7" t="s">
        <v>73</v>
      </c>
      <c r="C2" s="7"/>
      <c r="D2" s="7"/>
      <c r="E2" s="7"/>
      <c r="F2" s="7"/>
    </row>
    <row r="4" customFormat="false" ht="15" hidden="false" customHeight="true" outlineLevel="0" collapsed="false">
      <c r="B4" s="17" t="s">
        <v>74</v>
      </c>
      <c r="C4" s="17" t="s">
        <v>75</v>
      </c>
      <c r="D4" s="17" t="s">
        <v>76</v>
      </c>
      <c r="E4" s="17" t="s">
        <v>77</v>
      </c>
    </row>
    <row r="5" customFormat="false" ht="33.75" hidden="false" customHeight="true" outlineLevel="0" collapsed="false">
      <c r="B5" s="18" t="s">
        <v>78</v>
      </c>
      <c r="C5" s="18" t="s">
        <v>79</v>
      </c>
      <c r="D5" s="18" t="s">
        <v>80</v>
      </c>
      <c r="E5" s="19"/>
    </row>
    <row r="6" customFormat="false" ht="33.75" hidden="false" customHeight="true" outlineLevel="0" collapsed="false">
      <c r="B6" s="18" t="s">
        <v>81</v>
      </c>
      <c r="C6" s="18" t="s">
        <v>79</v>
      </c>
      <c r="D6" s="18" t="s">
        <v>82</v>
      </c>
      <c r="E6" s="19"/>
    </row>
    <row r="7" customFormat="false" ht="33.75" hidden="false" customHeight="true" outlineLevel="0" collapsed="false">
      <c r="B7" s="18" t="s">
        <v>83</v>
      </c>
      <c r="C7" s="18" t="s">
        <v>79</v>
      </c>
      <c r="D7" s="18" t="s">
        <v>84</v>
      </c>
      <c r="E7" s="19"/>
    </row>
    <row r="8" customFormat="false" ht="33.75" hidden="false" customHeight="true" outlineLevel="0" collapsed="false">
      <c r="B8" s="18" t="s">
        <v>85</v>
      </c>
      <c r="C8" s="18" t="s">
        <v>79</v>
      </c>
      <c r="D8" s="18" t="s">
        <v>86</v>
      </c>
      <c r="E8" s="19"/>
    </row>
    <row r="9" customFormat="false" ht="33.75" hidden="false" customHeight="true" outlineLevel="0" collapsed="false">
      <c r="B9" s="18" t="s">
        <v>87</v>
      </c>
      <c r="C9" s="18" t="s">
        <v>88</v>
      </c>
      <c r="D9" s="18" t="s">
        <v>89</v>
      </c>
      <c r="E9" s="19"/>
    </row>
    <row r="10" customFormat="false" ht="33.75" hidden="false" customHeight="true" outlineLevel="0" collapsed="false">
      <c r="B10" s="20" t="s">
        <v>90</v>
      </c>
      <c r="C10" s="21" t="s">
        <v>91</v>
      </c>
      <c r="D10" s="20" t="s">
        <v>92</v>
      </c>
      <c r="E10" s="22" t="s">
        <v>93</v>
      </c>
    </row>
    <row r="11" customFormat="false" ht="33.75" hidden="false" customHeight="true" outlineLevel="0" collapsed="false">
      <c r="B11" s="18" t="s">
        <v>94</v>
      </c>
      <c r="C11" s="23" t="s">
        <v>95</v>
      </c>
      <c r="D11" s="18" t="s">
        <v>96</v>
      </c>
      <c r="E11" s="19"/>
    </row>
    <row r="12" customFormat="false" ht="33.75" hidden="false" customHeight="true" outlineLevel="0" collapsed="false">
      <c r="B12" s="20" t="s">
        <v>97</v>
      </c>
      <c r="C12" s="21" t="s">
        <v>98</v>
      </c>
      <c r="D12" s="20" t="s">
        <v>99</v>
      </c>
      <c r="E12" s="22" t="s">
        <v>100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2026-08-25T08:23:15Z</dcterms:created>
  <dc:creator>openpyxl</dc:creator>
  <dc:description/>
  <dc:language>en-US</dc:language>
  <cp:lastModifiedBy/>
  <dcterms:modified xsi:type="dcterms:W3CDTF">2026-08-25T08:23:42Z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