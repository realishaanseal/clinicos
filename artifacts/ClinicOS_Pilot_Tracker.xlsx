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iscovery Log" sheetId="2" state="visible" r:id="rId4"/>
    <sheet name="Pilot Daily Log" sheetId="3" state="visible" r:id="rId5"/>
    <sheet name="Unit Economics" sheetId="4" state="visible" r:id="rId6"/>
    <sheet name="Kill Criteria" sheetId="5" state="visible" r:id="rId7"/>
  </sheets>
  <definedNames>
    <definedName function="false" hidden="true" localSheetId="1" name="_xlnm._FilterDatabase" vbProcedure="false">'Discovery Log'!$A$3:$U$103</definedName>
    <definedName function="false" hidden="true" localSheetId="2" name="_xlnm._FilterDatabase" vbProcedure="false">'Pilot Daily Log'!$A$3:$K$402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<sst xmlns="http://schemas.openxmlformats.org/spreadsheetml/2006/main" count="113" uniqueCount="105">
  <si>
    <t xml:space="preserve">ClinicOS Pilot Tracker</t>
  </si>
  <si>
    <t xml:space="preserve">One file. Fill it weekly. It answers the only three questions that matter.</t>
  </si>
  <si>
    <t xml:space="preserve">HOW TO USE THIS</t>
  </si>
  <si>
    <t xml:space="preserve">Row 3 on every tab</t>
  </si>
  <si>
    <t xml:space="preserve">is a greyed-out EXAMPLE row showing the expected format. Delete it once you have real data — the Kill Criteria tab ignores it.</t>
  </si>
  <si>
    <t xml:space="preserve">Yellow cells</t>
  </si>
  <si>
    <t xml:space="preserve">are for you to fill in. Blue text means a number you typed. Black means a formula — don't overwrite it.</t>
  </si>
  <si>
    <t xml:space="preserve">Weekly rhythm</t>
  </si>
  <si>
    <t xml:space="preserve">Sunday evening: 15 minutes. Update Discovery Log and Pilot Daily Log, then read Kill Criteria. That's the whole discipline.</t>
  </si>
  <si>
    <t xml:space="preserve">THE TABS</t>
  </si>
  <si>
    <t xml:space="preserve">Discovery Log</t>
  </si>
  <si>
    <t xml:space="preserve">Your 20 doctor conversations. The 'Documentation unprompted?' column is the single most important field in this file.</t>
  </si>
  <si>
    <t xml:space="preserve">Pilot Daily Log</t>
  </si>
  <si>
    <t xml:space="preserve">One row per clinic per day. Catches silent churn — a doctor who stops using it without telling you.</t>
  </si>
  <si>
    <t xml:space="preserve">Unit Economics</t>
  </si>
  <si>
    <t xml:space="preserve">What one consultation costs you to process, and whether the business works at your price. Fill this in week 4, not year 2.</t>
  </si>
  <si>
    <t xml:space="preserve">Kill Criteria</t>
  </si>
  <si>
    <t xml:space="preserve">Live scoreboard against the three decisions you committed to in advance. Read it; don't argue with it.</t>
  </si>
  <si>
    <t xml:space="preserve">THE THREE QUESTIONS</t>
  </si>
  <si>
    <t xml:space="preserve">Week 4</t>
  </si>
  <si>
    <t xml:space="preserve">Do 6 or more of 20 doctors name documentation unprompted as a top-3 frustration?</t>
  </si>
  <si>
    <t xml:space="preserve">Week 8</t>
  </si>
  <si>
    <t xml:space="preserve">On day 21, are 2 of 3 pilot doctors still using it when you are not in the room?</t>
  </si>
  <si>
    <t xml:space="preserve">Week 16</t>
  </si>
  <si>
    <t xml:space="preserve">Will 5 clinics pay Rs 500 a month?</t>
  </si>
  <si>
    <t xml:space="preserve">A WARNING</t>
  </si>
  <si>
    <t xml:space="preserve">Doctors are polite, and you are a student they want to encourage. Enthusiasm in a meeting is not data. Consults logged on a day you were not present is data. When the two disagree, believe the log.</t>
  </si>
  <si>
    <t xml:space="preserve">Discovery Log — 20 conversations</t>
  </si>
  <si>
    <t xml:space="preserve">Fill in immediately after each visit, not during. Column F is the one that decides whether the wedge is real.</t>
  </si>
  <si>
    <t xml:space="preserve">2026-09-02</t>
  </si>
  <si>
    <t xml:space="preserve">Dr S. Ghosh</t>
  </si>
  <si>
    <t xml:space="preserve">Krishnanagar, near bus stand</t>
  </si>
  <si>
    <t xml:space="preserve">Y</t>
  </si>
  <si>
    <t xml:space="preserve">Patients don't come back for follow-up</t>
  </si>
  <si>
    <t xml:space="preserve">Evening paperwork after OPD</t>
  </si>
  <si>
    <t xml:space="preserve">Old patients bring no file</t>
  </si>
  <si>
    <t xml:space="preserve">N</t>
  </si>
  <si>
    <t xml:space="preserve">"Staff never entered the data, so it was always half empty"</t>
  </si>
  <si>
    <t xml:space="preserve">Patient brings paper file; otherwise start fresh</t>
  </si>
  <si>
    <t xml:space="preserve">Bengali</t>
  </si>
  <si>
    <t xml:space="preserve">English</t>
  </si>
  <si>
    <t xml:space="preserve">Dr A. Mondal, Dr R. Biswas</t>
  </si>
  <si>
    <t xml:space="preserve">Warmest response was to the printed prescription, not the time saving</t>
  </si>
  <si>
    <t xml:space="preserve">Pilot Daily Log — silent churn detector</t>
  </si>
  <si>
    <t xml:space="preserve">One row per clinic per day. The number that matters is consults recorded on days when column H says N.</t>
  </si>
  <si>
    <t xml:space="preserve">2026-09-22</t>
  </si>
  <si>
    <t xml:space="preserve">Ghosh Clinic</t>
  </si>
  <si>
    <t xml:space="preserve">Printer jammed twice; doctor still used it. Asked for larger font on prescription.</t>
  </si>
  <si>
    <t xml:space="preserve">Unit Economics — can this survive at your price?</t>
  </si>
  <si>
    <t xml:space="preserve">Fill the yellow cells from your actual provider bills in week 4. Guessing here is how startups discover a broken model in year two.</t>
  </si>
  <si>
    <t xml:space="preserve">INPUTS — PLACEHOLDERS. Replace every one with your own measured figure.</t>
  </si>
  <si>
    <t xml:space="preserve">Average consultation length (minutes)</t>
  </si>
  <si>
    <t xml:space="preserve">From your pilot audio, not from what feels typical.</t>
  </si>
  <si>
    <t xml:space="preserve">Speech recognition cost (Rs per audio minute)</t>
  </si>
  <si>
    <t xml:space="preserve">Your provider's rate x USD/INR. Include the free-tier expiry date in your calendar.</t>
  </si>
  <si>
    <t xml:space="preserve">Note generation cost (Rs per consultation)</t>
  </si>
  <si>
    <t xml:space="preserve">Input + output tokens for one full consultation transcript.</t>
  </si>
  <si>
    <t xml:space="preserve">Storage &amp; hosting (Rs per consultation)</t>
  </si>
  <si>
    <t xml:space="preserve">Amortised. Falls sharply if you delete raw audio after signing — which you should.</t>
  </si>
  <si>
    <t xml:space="preserve">Consultations per clinic per month</t>
  </si>
  <si>
    <t xml:space="preserve">45 patients/day x 20 working days. Use your real logged figure.</t>
  </si>
  <si>
    <t xml:space="preserve">Price charged per clinic per month (Rs)</t>
  </si>
  <si>
    <t xml:space="preserve">Start at 500. The deck's 2,000 is an untested assumption.</t>
  </si>
  <si>
    <t xml:space="preserve">Free-tier clinics per paying clinic</t>
  </si>
  <si>
    <t xml:space="preserve">Your deck's freemium hook. Each free clinic costs you full inference with zero revenue.</t>
  </si>
  <si>
    <t xml:space="preserve">COST PER CONSULTATION</t>
  </si>
  <si>
    <t xml:space="preserve">Speech recognition</t>
  </si>
  <si>
    <t xml:space="preserve">Note generation</t>
  </si>
  <si>
    <t xml:space="preserve">Storage &amp; hosting</t>
  </si>
  <si>
    <t xml:space="preserve">Total cost per consultation</t>
  </si>
  <si>
    <t xml:space="preserve">If this is above about Rs 3, the model does not work at Rs 2,000/month. Find out now.</t>
  </si>
  <si>
    <t xml:space="preserve">PER PAYING CLINIC, PER MONTH</t>
  </si>
  <si>
    <t xml:space="preserve">Revenue</t>
  </si>
  <si>
    <t xml:space="preserve">Cost to serve this clinic</t>
  </si>
  <si>
    <t xml:space="preserve">Cost of the free clinics it subsidises</t>
  </si>
  <si>
    <t xml:space="preserve">The freemium tier is not free to you.</t>
  </si>
  <si>
    <t xml:space="preserve">Gross profit per paying clinic</t>
  </si>
  <si>
    <t xml:space="preserve">Gross margin %</t>
  </si>
  <si>
    <t xml:space="preserve">Negative here means every clinic you add loses you money. That is a reason to change the product, not to sell harder.</t>
  </si>
  <si>
    <t xml:space="preserve">Gross-margin breakeven price per clinic per month</t>
  </si>
  <si>
    <t xml:space="preserve">The lowest price at which a paying clinic covers itself and its share of the free tier. Compare this to what a doctor actually said they would pay.</t>
  </si>
  <si>
    <t xml:space="preserve">SENSITIVITY — gross margin at different monthly prices</t>
  </si>
  <si>
    <t xml:space="preserve">Price per clinic per month (Rs)</t>
  </si>
  <si>
    <t xml:space="preserve">Read down this column before you commit to a price in any pitch. The deck assumes a blended Rs 4,167/month; the market band for small-clinic software in India is Rs 500-5,000.</t>
  </si>
  <si>
    <t xml:space="preserve">Kill Criteria — decided in advance</t>
  </si>
  <si>
    <t xml:space="preserve">Failing one of these is not failure. Continuing past one is.</t>
  </si>
  <si>
    <t xml:space="preserve">When</t>
  </si>
  <si>
    <t xml:space="preserve">The test</t>
  </si>
  <si>
    <t xml:space="preserve">Threshold</t>
  </si>
  <si>
    <t xml:space="preserve">Actual</t>
  </si>
  <si>
    <t xml:space="preserve">Verdict</t>
  </si>
  <si>
    <t xml:space="preserve">If it fails</t>
  </si>
  <si>
    <t xml:space="preserve">Doctors naming documentation UNPROMPTED as a top-3 frustration</t>
  </si>
  <si>
    <t xml:space="preserve">The wedge is wrong. Re-read your notes for what they DID name — most likely patient retention and the printed prescription. Pivot now; it is cheap in week 4 and expensive in month 12.</t>
  </si>
  <si>
    <t xml:space="preserve">Pilot clinics still using it unattended on day 21</t>
  </si>
  <si>
    <t xml:space="preserve">The product is not ready. Selling harder does not fix a doctor who quietly stopped opening it. Find out what broke, from the doctor who stopped.</t>
  </si>
  <si>
    <t xml:space="preserve">Clinics paying Rs 500/month</t>
  </si>
  <si>
    <t xml:space="preserve">The business is not there in this form. This is the honest moment to stop, or to change what you are selling. It is not a moment to raise money.</t>
  </si>
  <si>
    <t xml:space="preserve">Conversations completed so far</t>
  </si>
  <si>
    <t xml:space="preserve">Target 20. Column D on the Week-4 row only means something once this reaches 20.</t>
  </si>
  <si>
    <t xml:space="preserve">Clinics willing to pilot for free</t>
  </si>
  <si>
    <t xml:space="preserve">You need three. More than three is a distraction while you are part-time.</t>
  </si>
  <si>
    <t xml:space="preserve">Clinical advisor candidates identified</t>
  </si>
  <si>
    <t xml:space="preserve">You need one, and your deck is right that this is the role you cannot skip. Recruit in Phase 1, not Phase 3.</t>
  </si>
  <si>
    <t xml:space="preserve">Note: the example row 3 on each tab is excluded from every count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</si>
</sst>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General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5E5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77700"/>
      <name val="Arial"/>
      <family val="0"/>
      <charset val="1"/>
    </font>
    <font>
      <b val="true"/>
      <sz val="14"/>
      <color rgb="FF0F5E56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F5E56"/>
      <name val="Arial"/>
      <family val="0"/>
      <charset val="1"/>
    </font>
    <font>
      <b val="true"/>
      <sz val="11"/>
      <color rgb="FFC77700"/>
      <name val="Arial"/>
      <family val="0"/>
      <charset val="1"/>
    </font>
    <font>
      <i val="true"/>
      <sz val="10"/>
      <color rgb="FFC777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5E56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5E5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E56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777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9.75" hidden="false" customHeight="true" outlineLevel="0" collapsed="false">
      <c r="A3" s="3"/>
      <c r="B3" s="4"/>
    </row>
    <row r="4" customFormat="false" ht="9.75" hidden="false" customHeight="true" outlineLevel="0" collapsed="false">
      <c r="A4" s="5" t="s">
        <v>2</v>
      </c>
      <c r="B4" s="4"/>
    </row>
    <row r="5" customFormat="false" ht="30" hidden="false" customHeight="true" outlineLevel="0" collapsed="false">
      <c r="A5" s="3" t="s">
        <v>3</v>
      </c>
      <c r="B5" s="4" t="s">
        <v>4</v>
      </c>
    </row>
    <row r="6" customFormat="false" ht="30" hidden="false" customHeight="true" outlineLevel="0" collapsed="false">
      <c r="A6" s="3" t="s">
        <v>5</v>
      </c>
      <c r="B6" s="4" t="s">
        <v>6</v>
      </c>
    </row>
    <row r="7" customFormat="false" ht="30" hidden="false" customHeight="true" outlineLevel="0" collapsed="false">
      <c r="A7" s="3" t="s">
        <v>7</v>
      </c>
      <c r="B7" s="4" t="s">
        <v>8</v>
      </c>
    </row>
    <row r="8" customFormat="false" ht="9.75" hidden="false" customHeight="true" outlineLevel="0" collapsed="false">
      <c r="A8" s="3"/>
      <c r="B8" s="4"/>
    </row>
    <row r="9" customFormat="false" ht="9.75" hidden="false" customHeight="true" outlineLevel="0" collapsed="false">
      <c r="A9" s="5" t="s">
        <v>9</v>
      </c>
      <c r="B9" s="4"/>
    </row>
    <row r="10" customFormat="false" ht="30" hidden="false" customHeight="true" outlineLevel="0" collapsed="false">
      <c r="A10" s="3" t="s">
        <v>10</v>
      </c>
      <c r="B10" s="4" t="s">
        <v>11</v>
      </c>
    </row>
    <row r="11" customFormat="false" ht="30" hidden="false" customHeight="true" outlineLevel="0" collapsed="false">
      <c r="A11" s="3" t="s">
        <v>12</v>
      </c>
      <c r="B11" s="4" t="s">
        <v>13</v>
      </c>
    </row>
    <row r="12" customFormat="false" ht="30" hidden="false" customHeight="true" outlineLevel="0" collapsed="false">
      <c r="A12" s="3" t="s">
        <v>14</v>
      </c>
      <c r="B12" s="4" t="s">
        <v>15</v>
      </c>
    </row>
    <row r="13" customFormat="false" ht="30" hidden="false" customHeight="true" outlineLevel="0" collapsed="false">
      <c r="A13" s="3" t="s">
        <v>16</v>
      </c>
      <c r="B13" s="4" t="s">
        <v>17</v>
      </c>
    </row>
    <row r="14" customFormat="false" ht="9.75" hidden="false" customHeight="true" outlineLevel="0" collapsed="false">
      <c r="A14" s="3"/>
      <c r="B14" s="4"/>
    </row>
    <row r="15" customFormat="false" ht="9.75" hidden="false" customHeight="true" outlineLevel="0" collapsed="false">
      <c r="A15" s="5" t="s">
        <v>18</v>
      </c>
      <c r="B15" s="4"/>
    </row>
    <row r="16" customFormat="false" ht="30" hidden="false" customHeight="true" outlineLevel="0" collapsed="false">
      <c r="A16" s="3" t="s">
        <v>19</v>
      </c>
      <c r="B16" s="4" t="s">
        <v>20</v>
      </c>
    </row>
    <row r="17" customFormat="false" ht="30" hidden="false" customHeight="true" outlineLevel="0" collapsed="false">
      <c r="A17" s="3" t="s">
        <v>21</v>
      </c>
      <c r="B17" s="4" t="s">
        <v>22</v>
      </c>
    </row>
    <row r="18" customFormat="false" ht="30" hidden="false" customHeight="true" outlineLevel="0" collapsed="false">
      <c r="A18" s="3" t="s">
        <v>23</v>
      </c>
      <c r="B18" s="4" t="s">
        <v>24</v>
      </c>
    </row>
    <row r="19" customFormat="false" ht="9.75" hidden="false" customHeight="true" outlineLevel="0" collapsed="false">
      <c r="A19" s="3"/>
      <c r="B19" s="4"/>
    </row>
    <row r="20" customFormat="false" ht="9.75" hidden="false" customHeight="true" outlineLevel="0" collapsed="false">
      <c r="A20" s="5" t="s">
        <v>25</v>
      </c>
      <c r="B20" s="4"/>
    </row>
    <row r="21" customFormat="false" ht="30" hidden="false" customHeight="true" outlineLevel="0" collapsed="false">
      <c r="A21" s="3"/>
      <c r="B21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9" min="7" style="0" width="26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8" min="17" style="0" width="13"/>
    <col collapsed="false" customWidth="true" hidden="false" outlineLevel="0" max="19" min="19" style="0" width="12"/>
    <col collapsed="false" customWidth="true" hidden="false" outlineLevel="0" max="20" min="20" style="0" width="26"/>
    <col collapsed="false" customWidth="true" hidden="false" outlineLevel="0" max="21" min="21" style="0" width="34"/>
  </cols>
  <sheetData>
    <row r="1" customFormat="false" ht="24" hidden="false" customHeight="true" outlineLevel="0" collapsed="false">
      <c r="A1" s="6" t="s">
        <v>27</v>
      </c>
    </row>
    <row r="2" customFormat="false" ht="15" hidden="false" customHeight="false" outlineLevel="0" collapsed="false">
      <c r="A2" s="2" t="s">
        <v>28</v>
      </c>
    </row>
    <row r="3" customFormat="false" ht="33.75" hidden="false" customHeight="true" outlineLevel="0" collapsed="false">
      <c r="A3" s="7" t="n">
        <v>1</v>
      </c>
      <c r="B3" s="7" t="s">
        <v>29</v>
      </c>
      <c r="C3" s="7" t="s">
        <v>30</v>
      </c>
      <c r="D3" s="7" t="s">
        <v>31</v>
      </c>
      <c r="E3" s="7" t="n">
        <v>55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32</v>
      </c>
      <c r="K3" s="7" t="s">
        <v>36</v>
      </c>
      <c r="L3" s="7" t="s">
        <v>37</v>
      </c>
      <c r="M3" s="7" t="n">
        <v>0</v>
      </c>
      <c r="N3" s="7" t="s">
        <v>38</v>
      </c>
      <c r="O3" s="7" t="n">
        <v>30</v>
      </c>
      <c r="P3" s="7" t="s">
        <v>39</v>
      </c>
      <c r="Q3" s="7" t="s">
        <v>40</v>
      </c>
      <c r="R3" s="7" t="s">
        <v>32</v>
      </c>
      <c r="S3" s="7" t="s">
        <v>36</v>
      </c>
      <c r="T3" s="7" t="s">
        <v>41</v>
      </c>
      <c r="U3" s="7" t="s">
        <v>42</v>
      </c>
    </row>
    <row r="4" customFormat="false" ht="15" hidden="false" customHeight="false" outlineLevel="0" collapsed="false">
      <c r="A4" s="8" t="n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15" hidden="false" customHeight="false" outlineLevel="0" collapsed="false">
      <c r="A5" s="8" t="n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15" hidden="false" customHeight="false" outlineLevel="0" collapsed="false">
      <c r="A6" s="8" t="n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5" hidden="false" customHeight="fals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A8" s="8" t="n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5" hidden="false" customHeight="fals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5" hidden="false" customHeight="false" outlineLevel="0" collapsed="false">
      <c r="A10" s="8" t="n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5" hidden="false" customHeight="fals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5" hidden="false" customHeight="false" outlineLevel="0" collapsed="false">
      <c r="A12" s="8" t="n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5" hidden="false" customHeight="fals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5" hidden="false" customHeight="false" outlineLevel="0" collapsed="false">
      <c r="A14" s="8" t="n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5" hidden="false" customHeight="fals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5" hidden="false" customHeight="false" outlineLevel="0" collapsed="false">
      <c r="A16" s="8" t="n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5" hidden="false" customHeight="fals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5" hidden="false" customHeight="false" outlineLevel="0" collapsed="false">
      <c r="A18" s="8" t="n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5" hidden="false" customHeight="fals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5" hidden="false" customHeight="false" outlineLevel="0" collapsed="false">
      <c r="A20" s="8" t="n">
        <v>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5" hidden="false" customHeight="fals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5" hidden="false" customHeight="false" outlineLevel="0" collapsed="false">
      <c r="A22" s="8" t="n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5" hidden="false" customHeight="fals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5" hidden="false" customHeight="false" outlineLevel="0" collapsed="false">
      <c r="A24" s="8" t="n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5" hidden="false" customHeight="false" outlineLevel="0" collapsed="false">
      <c r="A25" s="8" t="n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5" hidden="false" customHeight="false" outlineLevel="0" collapsed="false">
      <c r="A26" s="8" t="n">
        <v>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customFormat="false" ht="15" hidden="false" customHeight="false" outlineLevel="0" collapsed="false">
      <c r="A27" s="8" t="n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5" hidden="false" customHeight="false" outlineLevel="0" collapsed="false">
      <c r="A28" s="8" t="n">
        <v>25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customFormat="false" ht="15" hidden="false" customHeight="false" outlineLevel="0" collapsed="false">
      <c r="A29" s="8" t="n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5" hidden="false" customHeight="false" outlineLevel="0" collapsed="false">
      <c r="A30" s="8" t="n">
        <v>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customFormat="false" ht="15" hidden="false" customHeight="false" outlineLevel="0" collapsed="false">
      <c r="A31" s="8" t="n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5" hidden="false" customHeight="false" outlineLevel="0" collapsed="false">
      <c r="A32" s="8" t="n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customFormat="false" ht="15" hidden="false" customHeight="false" outlineLevel="0" collapsed="false">
      <c r="A33" s="8" t="n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5" hidden="false" customHeight="false" outlineLevel="0" collapsed="false">
      <c r="A34" s="8" t="n">
        <v>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customFormat="false" ht="15" hidden="false" customHeight="false" outlineLevel="0" collapsed="false">
      <c r="A35" s="8" t="n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5" hidden="false" customHeight="false" outlineLevel="0" collapsed="false">
      <c r="A36" s="8" t="n">
        <v>33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customFormat="false" ht="15" hidden="false" customHeight="false" outlineLevel="0" collapsed="false">
      <c r="A37" s="8" t="n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5" hidden="false" customHeight="false" outlineLevel="0" collapsed="false">
      <c r="A38" s="8" t="n">
        <v>35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customFormat="false" ht="15" hidden="false" customHeight="false" outlineLevel="0" collapsed="false">
      <c r="A39" s="8" t="n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5" hidden="false" customHeight="false" outlineLevel="0" collapsed="false">
      <c r="A40" s="8" t="n">
        <v>37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customFormat="false" ht="15" hidden="false" customHeight="false" outlineLevel="0" collapsed="false">
      <c r="A41" s="8" t="n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5" hidden="false" customHeight="false" outlineLevel="0" collapsed="false">
      <c r="A42" s="8" t="n">
        <v>39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customFormat="false" ht="15" hidden="false" customHeight="false" outlineLevel="0" collapsed="false">
      <c r="A43" s="8" t="n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customFormat="false" ht="15" hidden="false" customHeight="false" outlineLevel="0" collapsed="false">
      <c r="A44" s="8" t="n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customFormat="false" ht="15" hidden="false" customHeight="false" outlineLevel="0" collapsed="false">
      <c r="A45" s="8" t="n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customFormat="false" ht="15" hidden="false" customHeight="false" outlineLevel="0" collapsed="false">
      <c r="A46" s="8" t="n">
        <v>43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customFormat="false" ht="15" hidden="false" customHeight="false" outlineLevel="0" collapsed="false">
      <c r="A47" s="8" t="n">
        <v>44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customFormat="false" ht="15" hidden="false" customHeight="false" outlineLevel="0" collapsed="false">
      <c r="A48" s="8" t="n">
        <v>45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customFormat="false" ht="15" hidden="false" customHeight="false" outlineLevel="0" collapsed="false">
      <c r="A49" s="8" t="n">
        <v>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customFormat="false" ht="15" hidden="false" customHeight="false" outlineLevel="0" collapsed="false">
      <c r="A50" s="8" t="n">
        <v>47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customFormat="false" ht="15" hidden="false" customHeight="false" outlineLevel="0" collapsed="false">
      <c r="A51" s="8" t="n">
        <v>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customFormat="false" ht="15" hidden="false" customHeight="false" outlineLevel="0" collapsed="false">
      <c r="A52" s="8" t="n">
        <v>49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customFormat="false" ht="15" hidden="false" customHeight="false" outlineLevel="0" collapsed="false">
      <c r="A53" s="8" t="n">
        <v>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customFormat="false" ht="15" hidden="false" customHeight="false" outlineLevel="0" collapsed="false">
      <c r="A54" s="8" t="n">
        <v>51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customFormat="false" ht="15" hidden="false" customHeight="false" outlineLevel="0" collapsed="false">
      <c r="A55" s="8" t="n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customFormat="false" ht="15" hidden="false" customHeight="false" outlineLevel="0" collapsed="false">
      <c r="A56" s="8" t="n">
        <v>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customFormat="false" ht="15" hidden="false" customHeight="false" outlineLevel="0" collapsed="false">
      <c r="A57" s="8" t="n">
        <v>54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customFormat="false" ht="15" hidden="false" customHeight="false" outlineLevel="0" collapsed="false">
      <c r="A58" s="8" t="n">
        <v>55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customFormat="false" ht="15" hidden="false" customHeight="false" outlineLevel="0" collapsed="false">
      <c r="A59" s="8" t="n">
        <v>56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customFormat="false" ht="15" hidden="false" customHeight="false" outlineLevel="0" collapsed="false">
      <c r="A60" s="8" t="n">
        <v>57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customFormat="false" ht="15" hidden="false" customHeight="false" outlineLevel="0" collapsed="false">
      <c r="A61" s="8" t="n">
        <v>58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customFormat="false" ht="15" hidden="false" customHeight="false" outlineLevel="0" collapsed="false">
      <c r="A62" s="8" t="n">
        <v>59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customFormat="false" ht="15" hidden="false" customHeight="false" outlineLevel="0" collapsed="false">
      <c r="A63" s="8" t="n">
        <v>60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customFormat="false" ht="15" hidden="false" customHeight="false" outlineLevel="0" collapsed="false">
      <c r="A64" s="8" t="n">
        <v>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customFormat="false" ht="15" hidden="false" customHeight="false" outlineLevel="0" collapsed="false">
      <c r="A65" s="8" t="n">
        <v>62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customFormat="false" ht="15" hidden="false" customHeight="false" outlineLevel="0" collapsed="false">
      <c r="A66" s="8" t="n">
        <v>63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customFormat="false" ht="15" hidden="false" customHeight="false" outlineLevel="0" collapsed="false">
      <c r="A67" s="8" t="n">
        <v>64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customFormat="false" ht="15" hidden="false" customHeight="false" outlineLevel="0" collapsed="false">
      <c r="A68" s="8" t="n">
        <v>65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customFormat="false" ht="15" hidden="false" customHeight="false" outlineLevel="0" collapsed="false">
      <c r="A69" s="8" t="n">
        <v>66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customFormat="false" ht="15" hidden="false" customHeight="false" outlineLevel="0" collapsed="false">
      <c r="A70" s="8" t="n">
        <v>67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customFormat="false" ht="15" hidden="false" customHeight="false" outlineLevel="0" collapsed="false">
      <c r="A71" s="8" t="n">
        <v>68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customFormat="false" ht="15" hidden="false" customHeight="false" outlineLevel="0" collapsed="false">
      <c r="A72" s="8" t="n">
        <v>69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customFormat="false" ht="15" hidden="false" customHeight="false" outlineLevel="0" collapsed="false">
      <c r="A73" s="8" t="n">
        <v>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customFormat="false" ht="15" hidden="false" customHeight="false" outlineLevel="0" collapsed="false">
      <c r="A74" s="8" t="n">
        <v>71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customFormat="false" ht="15" hidden="false" customHeight="false" outlineLevel="0" collapsed="false">
      <c r="A75" s="8" t="n">
        <v>72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customFormat="false" ht="15" hidden="false" customHeight="false" outlineLevel="0" collapsed="false">
      <c r="A76" s="8" t="n">
        <v>73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customFormat="false" ht="15" hidden="false" customHeight="false" outlineLevel="0" collapsed="false">
      <c r="A77" s="8" t="n">
        <v>74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customFormat="false" ht="15" hidden="false" customHeight="false" outlineLevel="0" collapsed="false">
      <c r="A78" s="8" t="n">
        <v>75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customFormat="false" ht="15" hidden="false" customHeight="false" outlineLevel="0" collapsed="false">
      <c r="A79" s="8" t="n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customFormat="false" ht="15" hidden="false" customHeight="false" outlineLevel="0" collapsed="false">
      <c r="A80" s="8" t="n">
        <v>77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customFormat="false" ht="15" hidden="false" customHeight="false" outlineLevel="0" collapsed="false">
      <c r="A81" s="8" t="n">
        <v>78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customFormat="false" ht="15" hidden="false" customHeight="false" outlineLevel="0" collapsed="false">
      <c r="A82" s="8" t="n">
        <v>79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customFormat="false" ht="15" hidden="false" customHeight="false" outlineLevel="0" collapsed="false">
      <c r="A83" s="8" t="n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customFormat="false" ht="15" hidden="false" customHeight="false" outlineLevel="0" collapsed="false">
      <c r="A84" s="8" t="n">
        <v>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customFormat="false" ht="15" hidden="false" customHeight="false" outlineLevel="0" collapsed="false">
      <c r="A85" s="8" t="n">
        <v>82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customFormat="false" ht="15" hidden="false" customHeight="false" outlineLevel="0" collapsed="false">
      <c r="A86" s="8" t="n">
        <v>83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customFormat="false" ht="15" hidden="false" customHeight="false" outlineLevel="0" collapsed="false">
      <c r="A87" s="8" t="n">
        <v>84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customFormat="false" ht="15" hidden="false" customHeight="false" outlineLevel="0" collapsed="false">
      <c r="A88" s="8" t="n">
        <v>85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customFormat="false" ht="15" hidden="false" customHeight="false" outlineLevel="0" collapsed="false">
      <c r="A89" s="8" t="n">
        <v>86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customFormat="false" ht="15" hidden="false" customHeight="false" outlineLevel="0" collapsed="false">
      <c r="A90" s="8" t="n">
        <v>87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customFormat="false" ht="15" hidden="false" customHeight="false" outlineLevel="0" collapsed="false">
      <c r="A91" s="8" t="n">
        <v>88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customFormat="false" ht="15" hidden="false" customHeight="false" outlineLevel="0" collapsed="false">
      <c r="A92" s="8" t="n">
        <v>89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customFormat="false" ht="15" hidden="false" customHeight="false" outlineLevel="0" collapsed="false">
      <c r="A93" s="8" t="n">
        <v>90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customFormat="false" ht="15" hidden="false" customHeight="false" outlineLevel="0" collapsed="false">
      <c r="A94" s="8" t="n">
        <v>91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customFormat="false" ht="15" hidden="false" customHeight="false" outlineLevel="0" collapsed="false">
      <c r="A95" s="8" t="n">
        <v>92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customFormat="false" ht="15" hidden="false" customHeight="false" outlineLevel="0" collapsed="false">
      <c r="A96" s="8" t="n">
        <v>93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customFormat="false" ht="15" hidden="false" customHeight="false" outlineLevel="0" collapsed="false">
      <c r="A97" s="8" t="n">
        <v>94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customFormat="false" ht="15" hidden="false" customHeight="false" outlineLevel="0" collapsed="false">
      <c r="A98" s="8" t="n">
        <v>95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customFormat="false" ht="15" hidden="false" customHeight="false" outlineLevel="0" collapsed="false">
      <c r="A99" s="8" t="n">
        <v>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customFormat="false" ht="15" hidden="false" customHeight="false" outlineLevel="0" collapsed="false">
      <c r="A100" s="8" t="n">
        <v>97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customFormat="false" ht="15" hidden="false" customHeight="false" outlineLevel="0" collapsed="false">
      <c r="A101" s="8" t="n">
        <v>98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customFormat="false" ht="15" hidden="false" customHeight="false" outlineLevel="0" collapsed="false">
      <c r="A102" s="8" t="n">
        <v>99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customFormat="false" ht="15" hidden="false" customHeight="false" outlineLevel="0" collapsed="false">
      <c r="A103" s="8" t="n">
        <v>100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</sheetData>
  <autoFilter ref="A3:U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46"/>
  </cols>
  <sheetData>
    <row r="1" customFormat="false" ht="24" hidden="false" customHeight="true" outlineLevel="0" collapsed="false">
      <c r="A1" s="6" t="s">
        <v>43</v>
      </c>
    </row>
    <row r="2" customFormat="false" ht="15" hidden="false" customHeight="false" outlineLevel="0" collapsed="false">
      <c r="A2" s="2" t="s">
        <v>44</v>
      </c>
    </row>
    <row r="3" customFormat="false" ht="33.75" hidden="false" customHeight="true" outlineLevel="0" collapsed="false">
      <c r="A3" s="7" t="s">
        <v>45</v>
      </c>
      <c r="B3" s="7" t="s">
        <v>46</v>
      </c>
      <c r="C3" s="7" t="n">
        <v>21</v>
      </c>
      <c r="D3" s="7" t="n">
        <v>34</v>
      </c>
      <c r="E3" s="7" t="n">
        <v>31</v>
      </c>
      <c r="F3" s="7" t="n">
        <v>3</v>
      </c>
      <c r="G3" s="7" t="n">
        <v>2.4</v>
      </c>
      <c r="H3" s="7" t="s">
        <v>36</v>
      </c>
      <c r="I3" s="7" t="n">
        <v>1</v>
      </c>
      <c r="J3" s="7" t="n">
        <v>2</v>
      </c>
      <c r="K3" s="7" t="s">
        <v>47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customFormat="false" ht="15" hidden="false" customHeight="fals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customFormat="false" ht="15" hidden="false" customHeight="fals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customFormat="false" ht="15" hidden="false" customHeight="fals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customFormat="false" ht="15" hidden="false" customHeight="fals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customFormat="false" ht="15" hidden="false" customHeight="fals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customFormat="false" ht="15" hidden="false" customHeight="fals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customFormat="false" ht="15" hidden="false" customHeight="fals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customFormat="false" ht="15" hidden="false" customHeight="fals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customFormat="false" ht="15" hidden="false" customHeight="fals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customFormat="false" ht="15" hidden="false" customHeight="fals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customFormat="false" ht="15" hidden="false" customHeight="fals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customFormat="false" ht="15" hidden="false" customHeight="fals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customFormat="false" ht="15" hidden="false" customHeight="fals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customFormat="false" ht="15" hidden="false" customHeight="fals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customFormat="false" ht="15" hidden="false" customHeight="fals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customFormat="false" ht="15" hidden="false" customHeight="fals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customFormat="false" ht="15" hidden="false" customHeight="fals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customFormat="false" ht="15" hidden="false" customHeight="fals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customFormat="false" ht="15" hidden="false" customHeight="fals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customFormat="false" ht="15" hidden="false" customHeight="fals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customFormat="false" ht="15" hidden="false" customHeight="fals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customFormat="false" ht="15" hidden="false" customHeight="fals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customFormat="false" ht="15" hidden="false" customHeight="fals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customFormat="false" ht="15" hidden="false" customHeight="fals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customFormat="false" ht="15" hidden="false" customHeight="fals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customFormat="false" ht="15" hidden="false" customHeight="fals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customFormat="false" ht="15" hidden="false" customHeight="fals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customFormat="false" ht="15" hidden="false" customHeight="fals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customFormat="false" ht="15" hidden="false" customHeight="fals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customFormat="false" ht="15" hidden="false" customHeight="fals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customFormat="false" ht="15" hidden="false" customHeight="fals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customFormat="false" ht="15" hidden="false" customHeight="fals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customFormat="false" ht="15" hidden="false" customHeight="fals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customFormat="false" ht="15" hidden="false" customHeight="fals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customFormat="false" ht="15" hidden="false" customHeight="fals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customFormat="false" ht="15" hidden="false" customHeight="fals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customFormat="false" ht="15" hidden="false" customHeight="fals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customFormat="false" ht="15" hidden="false" customHeight="fals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customFormat="false" ht="15" hidden="false" customHeight="fals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customFormat="false" ht="15" hidden="false" customHeight="fals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customFormat="false" ht="15" hidden="false" customHeight="fals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customFormat="false" ht="15" hidden="false" customHeight="fals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customFormat="false" ht="15" hidden="false" customHeight="fals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customFormat="false" ht="15" hidden="false" customHeight="fals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customFormat="false" ht="15" hidden="false" customHeight="fals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customFormat="false" ht="15" hidden="false" customHeight="fals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customFormat="false" ht="15" hidden="false" customHeight="fals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customFormat="false" ht="15" hidden="false" customHeight="fals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customFormat="false" ht="15" hidden="false" customHeight="fals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customFormat="false" ht="15" hidden="false" customHeight="fals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customFormat="false" ht="15" hidden="false" customHeight="fals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customFormat="false" ht="15" hidden="false" customHeight="fals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customFormat="false" ht="15" hidden="false" customHeight="fals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customFormat="false" ht="15" hidden="false" customHeight="fals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customFormat="false" ht="15" hidden="false" customHeight="fals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customFormat="false" ht="15" hidden="false" customHeight="fals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customFormat="false" ht="15" hidden="false" customHeight="fals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customFormat="false" ht="15" hidden="false" customHeight="fals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customFormat="false" ht="15" hidden="false" customHeight="fals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customFormat="false" ht="15" hidden="false" customHeight="fals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customFormat="false" ht="15" hidden="false" customHeight="fals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customFormat="false" ht="15" hidden="false" customHeight="fals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customFormat="false" ht="15" hidden="false" customHeight="fals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customFormat="false" ht="15" hidden="false" customHeight="fals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customFormat="false" ht="15" hidden="false" customHeight="fals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customFormat="false" ht="15" hidden="false" customHeight="fals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customFormat="false" ht="15" hidden="false" customHeight="fals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customFormat="false" ht="15" hidden="false" customHeight="fals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customFormat="false" ht="15" hidden="false" customHeight="fals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customFormat="false" ht="15" hidden="false" customHeight="fals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customFormat="false" ht="15" hidden="false" customHeight="fals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customFormat="false" ht="15" hidden="false" customHeight="fals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customFormat="false" ht="15" hidden="false" customHeight="fals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customFormat="false" ht="15" hidden="false" customHeight="fals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customFormat="false" ht="15" hidden="false" customHeight="fals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customFormat="false" ht="15" hidden="false" customHeight="fals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customFormat="false" ht="15" hidden="false" customHeight="fals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customFormat="false" ht="15" hidden="false" customHeight="fals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customFormat="false" ht="15" hidden="false" customHeight="fals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customFormat="false" ht="15" hidden="false" customHeight="fals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customFormat="false" ht="15" hidden="false" customHeight="fals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customFormat="false" ht="15" hidden="false" customHeight="fals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customFormat="false" ht="15" hidden="false" customHeight="fals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customFormat="false" ht="15" hidden="false" customHeight="fals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customFormat="false" ht="15" hidden="false" customHeight="fals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customFormat="false" ht="15" hidden="false" customHeight="fals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customFormat="false" ht="15" hidden="false" customHeight="fals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customFormat="false" ht="15" hidden="false" customHeight="fals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customFormat="false" ht="15" hidden="false" customHeight="fals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customFormat="false" ht="15" hidden="false" customHeight="fals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customFormat="false" ht="15" hidden="false" customHeight="fals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customFormat="false" ht="15" hidden="false" customHeight="fals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customFormat="false" ht="15" hidden="false" customHeight="fals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customFormat="false" ht="15" hidden="false" customHeight="fals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customFormat="false" ht="15" hidden="false" customHeight="fals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customFormat="false" ht="15" hidden="false" customHeight="fals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customFormat="false" ht="15" hidden="false" customHeight="fals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customFormat="false" ht="15" hidden="false" customHeight="fals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customFormat="false" ht="15" hidden="false" customHeight="fals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customFormat="false" ht="15" hidden="false" customHeight="fals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customFormat="false" ht="15" hidden="false" customHeight="fals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customFormat="false" ht="15" hidden="false" customHeight="fals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customFormat="false" ht="15" hidden="false" customHeight="fals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customFormat="false" ht="15" hidden="false" customHeight="fals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customFormat="false" ht="15" hidden="false" customHeight="fals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customFormat="false" ht="15" hidden="false" customHeight="fals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customFormat="false" ht="15" hidden="false" customHeight="fals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customFormat="false" ht="15" hidden="false" customHeight="fals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customFormat="false" ht="15" hidden="false" customHeight="fals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customFormat="false" ht="15" hidden="false" customHeight="fals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customFormat="false" ht="15" hidden="false" customHeight="fals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customFormat="false" ht="15" hidden="false" customHeight="fals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customFormat="false" ht="15" hidden="false" customHeight="fals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customFormat="false" ht="15" hidden="false" customHeight="fals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customFormat="false" ht="15" hidden="false" customHeight="fals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customFormat="false" ht="15" hidden="false" customHeight="fals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customFormat="false" ht="15" hidden="false" customHeight="fals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customFormat="false" ht="15" hidden="false" customHeight="fals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customFormat="false" ht="15" hidden="false" customHeight="fals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customFormat="false" ht="15" hidden="false" customHeight="fals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customFormat="false" ht="15" hidden="false" customHeight="fals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customFormat="false" ht="15" hidden="false" customHeight="fals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customFormat="false" ht="15" hidden="false" customHeight="fals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customFormat="false" ht="15" hidden="false" customHeight="fals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customFormat="false" ht="15" hidden="false" customHeight="fals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customFormat="false" ht="15" hidden="false" customHeight="fals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customFormat="false" ht="15" hidden="false" customHeight="fals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customFormat="false" ht="15" hidden="false" customHeight="fals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customFormat="false" ht="15" hidden="false" customHeight="fals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customFormat="false" ht="15" hidden="false" customHeight="fals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customFormat="false" ht="15" hidden="false" customHeight="fals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customFormat="false" ht="15" hidden="false" customHeight="fals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customFormat="false" ht="15" hidden="false" customHeight="fals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customFormat="false" ht="15" hidden="false" customHeight="fals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customFormat="false" ht="15" hidden="false" customHeight="fals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customFormat="false" ht="15" hidden="false" customHeight="fals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customFormat="false" ht="15" hidden="false" customHeight="fals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customFormat="false" ht="15" hidden="false" customHeight="fals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customFormat="false" ht="15" hidden="false" customHeight="fals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customFormat="false" ht="15" hidden="false" customHeight="fals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customFormat="false" ht="15" hidden="false" customHeight="fals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customFormat="false" ht="15" hidden="false" customHeight="fals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customFormat="false" ht="15" hidden="false" customHeight="fals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customFormat="false" ht="15" hidden="false" customHeight="fals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customFormat="false" ht="15" hidden="false" customHeight="fals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customFormat="false" ht="15" hidden="false" customHeight="fals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customFormat="false" ht="15" hidden="false" customHeight="fals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customFormat="false" ht="15" hidden="false" customHeight="fals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customFormat="false" ht="15" hidden="false" customHeight="fals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customFormat="false" ht="15" hidden="false" customHeight="fals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customFormat="false" ht="15" hidden="false" customHeight="fals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customFormat="false" ht="15" hidden="false" customHeight="fals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customFormat="false" ht="15" hidden="false" customHeight="fals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customFormat="false" ht="15" hidden="false" customHeight="fals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customFormat="false" ht="15" hidden="false" customHeight="fals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customFormat="false" ht="15" hidden="false" customHeight="fals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customFormat="false" ht="15" hidden="false" customHeight="fals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customFormat="false" ht="15" hidden="false" customHeight="fals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customFormat="false" ht="15" hidden="false" customHeight="fals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customFormat="false" ht="15" hidden="false" customHeight="fals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customFormat="false" ht="15" hidden="false" customHeight="fals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customFormat="false" ht="15" hidden="false" customHeight="fals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customFormat="false" ht="15" hidden="false" customHeight="fals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customFormat="false" ht="15" hidden="false" customHeight="fals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customFormat="false" ht="15" hidden="false" customHeight="fals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customFormat="false" ht="15" hidden="false" customHeight="fals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customFormat="false" ht="15" hidden="false" customHeight="fals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customFormat="false" ht="15" hidden="false" customHeight="fals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customFormat="false" ht="15" hidden="false" customHeight="fals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customFormat="false" ht="15" hidden="false" customHeight="fals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customFormat="false" ht="15" hidden="false" customHeight="fals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customFormat="false" ht="15" hidden="false" customHeight="fals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customFormat="false" ht="15" hidden="false" customHeight="fals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customFormat="false" ht="15" hidden="false" customHeight="fals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customFormat="false" ht="15" hidden="false" customHeight="fals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customFormat="false" ht="15" hidden="false" customHeight="fals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customFormat="false" ht="15" hidden="false" customHeight="fals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customFormat="false" ht="15" hidden="false" customHeight="fals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customFormat="false" ht="15" hidden="false" customHeight="fals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customFormat="false" ht="15" hidden="false" customHeight="fals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customFormat="false" ht="15" hidden="false" customHeight="fals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customFormat="false" ht="15" hidden="false" customHeight="fals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customFormat="false" ht="15" hidden="false" customHeight="fals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customFormat="false" ht="15" hidden="false" customHeight="fals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customFormat="false" ht="15" hidden="false" customHeight="fals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customFormat="false" ht="15" hidden="false" customHeight="fals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customFormat="false" ht="15" hidden="false" customHeight="fals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customFormat="false" ht="15" hidden="false" customHeight="fals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customFormat="false" ht="15" hidden="false" customHeight="fals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customFormat="false" ht="15" hidden="false" customHeight="fals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customFormat="false" ht="15" hidden="false" customHeight="fals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customFormat="false" ht="15" hidden="false" customHeight="fals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customFormat="false" ht="15" hidden="false" customHeight="fals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customFormat="false" ht="15" hidden="false" customHeight="fals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customFormat="false" ht="15" hidden="false" customHeight="fals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customFormat="false" ht="15" hidden="false" customHeight="fals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</sheetData>
  <autoFilter ref="A3:K4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0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1" t="s">
        <v>50</v>
      </c>
      <c r="B4" s="12"/>
      <c r="C4" s="12"/>
    </row>
    <row r="5" customFormat="false" ht="25.5" hidden="false" customHeight="true" outlineLevel="0" collapsed="false">
      <c r="A5" s="13" t="s">
        <v>51</v>
      </c>
      <c r="B5" s="14" t="n">
        <v>8</v>
      </c>
      <c r="C5" s="15" t="s">
        <v>52</v>
      </c>
    </row>
    <row r="6" customFormat="false" ht="25.5" hidden="false" customHeight="true" outlineLevel="0" collapsed="false">
      <c r="A6" s="13" t="s">
        <v>53</v>
      </c>
      <c r="B6" s="16" t="n">
        <v>0.15</v>
      </c>
      <c r="C6" s="15" t="s">
        <v>54</v>
      </c>
    </row>
    <row r="7" customFormat="false" ht="25.5" hidden="false" customHeight="true" outlineLevel="0" collapsed="false">
      <c r="A7" s="13" t="s">
        <v>55</v>
      </c>
      <c r="B7" s="16" t="n">
        <v>0.6</v>
      </c>
      <c r="C7" s="15" t="s">
        <v>56</v>
      </c>
    </row>
    <row r="8" customFormat="false" ht="25.5" hidden="false" customHeight="true" outlineLevel="0" collapsed="false">
      <c r="A8" s="13" t="s">
        <v>57</v>
      </c>
      <c r="B8" s="16" t="n">
        <v>0.05</v>
      </c>
      <c r="C8" s="15" t="s">
        <v>58</v>
      </c>
    </row>
    <row r="9" customFormat="false" ht="25.5" hidden="false" customHeight="true" outlineLevel="0" collapsed="false">
      <c r="A9" s="13" t="s">
        <v>59</v>
      </c>
      <c r="B9" s="17" t="n">
        <v>900</v>
      </c>
      <c r="C9" s="15" t="s">
        <v>60</v>
      </c>
    </row>
    <row r="10" customFormat="false" ht="25.5" hidden="false" customHeight="true" outlineLevel="0" collapsed="false">
      <c r="A10" s="13" t="s">
        <v>61</v>
      </c>
      <c r="B10" s="17" t="n">
        <v>500</v>
      </c>
      <c r="C10" s="15" t="s">
        <v>62</v>
      </c>
    </row>
    <row r="11" customFormat="false" ht="25.5" hidden="false" customHeight="true" outlineLevel="0" collapsed="false">
      <c r="A11" s="13" t="s">
        <v>63</v>
      </c>
      <c r="B11" s="14" t="n">
        <v>0.5</v>
      </c>
      <c r="C11" s="15" t="s">
        <v>64</v>
      </c>
    </row>
    <row r="13" customFormat="false" ht="15" hidden="false" customHeight="false" outlineLevel="0" collapsed="false">
      <c r="A13" s="11" t="s">
        <v>65</v>
      </c>
      <c r="B13" s="12"/>
      <c r="C13" s="12"/>
    </row>
    <row r="14" customFormat="false" ht="25.5" hidden="false" customHeight="true" outlineLevel="0" collapsed="false">
      <c r="A14" s="13" t="s">
        <v>66</v>
      </c>
      <c r="B14" s="18" t="n">
        <f aca="false">B5*B6</f>
        <v>1.2</v>
      </c>
      <c r="C14" s="15"/>
    </row>
    <row r="15" customFormat="false" ht="25.5" hidden="false" customHeight="true" outlineLevel="0" collapsed="false">
      <c r="A15" s="13" t="s">
        <v>67</v>
      </c>
      <c r="B15" s="18" t="n">
        <f aca="false">B7</f>
        <v>0.6</v>
      </c>
      <c r="C15" s="15"/>
    </row>
    <row r="16" customFormat="false" ht="25.5" hidden="false" customHeight="true" outlineLevel="0" collapsed="false">
      <c r="A16" s="13" t="s">
        <v>68</v>
      </c>
      <c r="B16" s="18" t="n">
        <f aca="false">B8</f>
        <v>0.05</v>
      </c>
      <c r="C16" s="15"/>
    </row>
    <row r="17" customFormat="false" ht="15" hidden="false" customHeight="false" outlineLevel="0" collapsed="false">
      <c r="A17" s="3" t="s">
        <v>69</v>
      </c>
      <c r="B17" s="19" t="n">
        <f aca="false">SUM(B14:B16)</f>
        <v>1.85</v>
      </c>
      <c r="C17" s="2" t="s">
        <v>70</v>
      </c>
    </row>
    <row r="19" customFormat="false" ht="15" hidden="false" customHeight="false" outlineLevel="0" collapsed="false">
      <c r="A19" s="11" t="s">
        <v>71</v>
      </c>
      <c r="B19" s="12"/>
      <c r="C19" s="12"/>
    </row>
    <row r="20" customFormat="false" ht="25.5" hidden="false" customHeight="true" outlineLevel="0" collapsed="false">
      <c r="A20" s="13" t="s">
        <v>72</v>
      </c>
      <c r="B20" s="20" t="n">
        <f aca="false">B10</f>
        <v>500</v>
      </c>
      <c r="C20" s="15"/>
    </row>
    <row r="21" customFormat="false" ht="25.5" hidden="false" customHeight="true" outlineLevel="0" collapsed="false">
      <c r="A21" s="13" t="s">
        <v>73</v>
      </c>
      <c r="B21" s="18" t="n">
        <f aca="false">B17*B9</f>
        <v>1665</v>
      </c>
      <c r="C21" s="15"/>
    </row>
    <row r="22" customFormat="false" ht="25.5" hidden="false" customHeight="true" outlineLevel="0" collapsed="false">
      <c r="A22" s="13" t="s">
        <v>74</v>
      </c>
      <c r="B22" s="18" t="n">
        <f aca="false">B17*B9*B11</f>
        <v>832.5</v>
      </c>
      <c r="C22" s="15" t="s">
        <v>75</v>
      </c>
    </row>
    <row r="23" customFormat="false" ht="15" hidden="false" customHeight="false" outlineLevel="0" collapsed="false">
      <c r="A23" s="3" t="s">
        <v>76</v>
      </c>
      <c r="B23" s="19" t="n">
        <f aca="false">B20-B21-B22</f>
        <v>-1997.5</v>
      </c>
    </row>
    <row r="24" customFormat="false" ht="25.5" hidden="false" customHeight="true" outlineLevel="0" collapsed="false">
      <c r="A24" s="3" t="s">
        <v>77</v>
      </c>
      <c r="B24" s="21" t="n">
        <f aca="false">IFERROR(B23/B20,0)</f>
        <v>-3.995</v>
      </c>
      <c r="C24" s="2" t="s">
        <v>78</v>
      </c>
    </row>
    <row r="25" customFormat="false" ht="25.5" hidden="false" customHeight="true" outlineLevel="0" collapsed="false">
      <c r="A25" s="3" t="s">
        <v>79</v>
      </c>
      <c r="B25" s="22" t="n">
        <f aca="false">B17*B9*(1+B11)</f>
        <v>2497.5</v>
      </c>
      <c r="C25" s="2" t="s">
        <v>80</v>
      </c>
    </row>
    <row r="26" customFormat="false" ht="15" hidden="false" customHeight="false" outlineLevel="0" collapsed="false">
      <c r="A26" s="11" t="s">
        <v>81</v>
      </c>
      <c r="B26" s="12"/>
      <c r="C26" s="12"/>
    </row>
    <row r="27" customFormat="false" ht="15" hidden="false" customHeight="false" outlineLevel="0" collapsed="false">
      <c r="A27" s="3" t="s">
        <v>82</v>
      </c>
      <c r="B27" s="3" t="s">
        <v>77</v>
      </c>
    </row>
    <row r="28" customFormat="false" ht="15" hidden="false" customHeight="true" outlineLevel="0" collapsed="false">
      <c r="A28" s="23" t="n">
        <v>500</v>
      </c>
      <c r="B28" s="24" t="n">
        <f aca="false">IFERROR((A28-$B$17*$B$9*(1+$B$11))/A28,0)</f>
        <v>-3.995</v>
      </c>
      <c r="C28" s="25" t="s">
        <v>83</v>
      </c>
    </row>
    <row r="29" customFormat="false" ht="15" hidden="false" customHeight="false" outlineLevel="0" collapsed="false">
      <c r="A29" s="23" t="n">
        <v>1000</v>
      </c>
      <c r="B29" s="24" t="n">
        <f aca="false">IFERROR((A29-$B$17*$B$9*(1+$B$11))/A29,0)</f>
        <v>-1.4975</v>
      </c>
      <c r="C29" s="25"/>
    </row>
    <row r="30" customFormat="false" ht="15" hidden="false" customHeight="false" outlineLevel="0" collapsed="false">
      <c r="A30" s="23" t="n">
        <v>1500</v>
      </c>
      <c r="B30" s="24" t="n">
        <f aca="false">IFERROR((A30-$B$17*$B$9*(1+$B$11))/A30,0)</f>
        <v>-0.665</v>
      </c>
      <c r="C30" s="25"/>
    </row>
    <row r="31" customFormat="false" ht="15" hidden="false" customHeight="false" outlineLevel="0" collapsed="false">
      <c r="A31" s="23" t="n">
        <v>2000</v>
      </c>
      <c r="B31" s="24" t="n">
        <f aca="false">IFERROR((A31-$B$17*$B$9*(1+$B$11))/A31,0)</f>
        <v>-0.24875</v>
      </c>
      <c r="C31" s="25"/>
    </row>
    <row r="32" customFormat="false" ht="15" hidden="false" customHeight="false" outlineLevel="0" collapsed="false">
      <c r="A32" s="23" t="n">
        <v>3000</v>
      </c>
      <c r="B32" s="24" t="n">
        <f aca="false">IFERROR((A32-$B$17*$B$9*(1+$B$11))/A32,0)</f>
        <v>0.1675</v>
      </c>
    </row>
    <row r="33" customFormat="false" ht="15" hidden="false" customHeight="false" outlineLevel="0" collapsed="false">
      <c r="A33" s="23" t="n">
        <v>5000</v>
      </c>
      <c r="B33" s="24" t="n">
        <f aca="false">IFERROR((A33-$B$17*$B$9*(1+$B$11))/A33,0)</f>
        <v>0.5005</v>
      </c>
    </row>
  </sheetData>
  <mergeCells count="1">
    <mergeCell ref="C28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10" t="s">
        <v>84</v>
      </c>
    </row>
    <row r="2" customFormat="false" ht="15" hidden="false" customHeight="false" outlineLevel="0" collapsed="false">
      <c r="A2" s="26" t="s">
        <v>85</v>
      </c>
    </row>
    <row r="4" customFormat="false" ht="24" hidden="false" customHeight="true" outlineLevel="0" collapsed="false">
      <c r="A4" s="27" t="s">
        <v>86</v>
      </c>
      <c r="B4" s="27" t="s">
        <v>87</v>
      </c>
      <c r="C4" s="27" t="s">
        <v>88</v>
      </c>
      <c r="D4" s="27" t="s">
        <v>89</v>
      </c>
      <c r="E4" s="27" t="s">
        <v>90</v>
      </c>
      <c r="F4" s="27" t="s">
        <v>91</v>
      </c>
    </row>
    <row r="5" customFormat="false" ht="57.75" hidden="false" customHeight="true" outlineLevel="0" collapsed="false">
      <c r="A5" s="28" t="s">
        <v>19</v>
      </c>
      <c r="B5" s="29" t="s">
        <v>92</v>
      </c>
      <c r="C5" s="30" t="n">
        <v>6</v>
      </c>
      <c r="D5" s="30" t="n">
        <f aca="false">COUNTIF('Discovery Log'!$F$4:$F$103,"Y")</f>
        <v>0</v>
      </c>
      <c r="E5" s="30" t="str">
        <f aca="false">IF(D5&gt;=C5,"PASS","NOT YET")</f>
        <v>NOT YET</v>
      </c>
      <c r="F5" s="31" t="s">
        <v>93</v>
      </c>
    </row>
    <row r="6" customFormat="false" ht="57.75" hidden="false" customHeight="true" outlineLevel="0" collapsed="false">
      <c r="A6" s="28" t="s">
        <v>21</v>
      </c>
      <c r="B6" s="29" t="s">
        <v>94</v>
      </c>
      <c r="C6" s="30" t="n">
        <v>2</v>
      </c>
      <c r="D6" s="32" t="n">
        <v>0</v>
      </c>
      <c r="E6" s="30" t="str">
        <f aca="false">IF(D6&gt;=C6,"PASS","NOT YET")</f>
        <v>NOT YET</v>
      </c>
      <c r="F6" s="31" t="s">
        <v>95</v>
      </c>
    </row>
    <row r="7" customFormat="false" ht="57.75" hidden="false" customHeight="true" outlineLevel="0" collapsed="false">
      <c r="A7" s="28" t="s">
        <v>23</v>
      </c>
      <c r="B7" s="29" t="s">
        <v>96</v>
      </c>
      <c r="C7" s="30" t="n">
        <v>5</v>
      </c>
      <c r="D7" s="32" t="n">
        <v>0</v>
      </c>
      <c r="E7" s="30" t="str">
        <f aca="false">IF(D7&gt;=C7,"PASS","NOT YET")</f>
        <v>NOT YET</v>
      </c>
      <c r="F7" s="31" t="s">
        <v>97</v>
      </c>
    </row>
    <row r="9" customFormat="false" ht="15" hidden="false" customHeight="false" outlineLevel="0" collapsed="false">
      <c r="B9" s="3" t="s">
        <v>98</v>
      </c>
      <c r="D9" s="30" t="n">
        <f aca="false">COUNTA('Discovery Log'!$C$4:$C$103)</f>
        <v>0</v>
      </c>
      <c r="F9" s="2" t="s">
        <v>99</v>
      </c>
    </row>
    <row r="10" customFormat="false" ht="15" hidden="false" customHeight="false" outlineLevel="0" collapsed="false">
      <c r="B10" s="13" t="s">
        <v>100</v>
      </c>
      <c r="D10" s="30" t="n">
        <f aca="false">COUNTIF('Discovery Log'!$R$4:$R$103,"Y")</f>
        <v>0</v>
      </c>
      <c r="F10" s="2" t="s">
        <v>101</v>
      </c>
    </row>
    <row r="11" customFormat="false" ht="15" hidden="false" customHeight="false" outlineLevel="0" collapsed="false">
      <c r="B11" s="13" t="s">
        <v>102</v>
      </c>
      <c r="D11" s="30" t="n">
        <f aca="false">COUNTIF('Discovery Log'!$S$4:$S$103,"Y")</f>
        <v>0</v>
      </c>
      <c r="F11" s="2" t="s">
        <v>103</v>
      </c>
    </row>
    <row r="13" customFormat="false" ht="15" hidden="false" customHeight="false" outlineLevel="0" collapsed="false">
      <c r="B13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2026-08-18T11:44:31Z</dcterms:created>
  <dc:creator>openpyxl</dc:creator>
  <dc:description/>
  <dc:language>en-US</dc:language>
  <cp:lastModifiedBy/>
  <dcterms:modified xsi:type="dcterms:W3CDTF">2026-08-18T11:44:31Z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